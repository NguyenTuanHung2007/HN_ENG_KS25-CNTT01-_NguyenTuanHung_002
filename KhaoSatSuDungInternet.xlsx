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D:\HN_ENG_KS25CNTT01_NguyenTuanHung\"/>
    </mc:Choice>
  </mc:AlternateContent>
  <xr:revisionPtr revIDLastSave="0" documentId="8_{9BDC0CE3-1017-4BEB-AE0C-F7AB54C7AC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Sheet1!$C$22:$F$26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1" l="1"/>
  <c r="K14" i="1"/>
  <c r="B26" i="1"/>
  <c r="L14" i="1"/>
  <c r="F9" i="1"/>
  <c r="F20" i="1"/>
  <c r="F2" i="1"/>
  <c r="F17" i="1"/>
  <c r="F10" i="1"/>
  <c r="F3" i="1"/>
  <c r="F15" i="1"/>
  <c r="F18" i="1"/>
  <c r="F6" i="1"/>
  <c r="F11" i="1"/>
  <c r="F19" i="1"/>
  <c r="F4" i="1"/>
  <c r="F12" i="1"/>
  <c r="F21" i="1"/>
  <c r="F5" i="1"/>
  <c r="F13" i="1"/>
  <c r="F7" i="1"/>
  <c r="F16" i="1"/>
  <c r="F8" i="1"/>
  <c r="F14" i="1"/>
  <c r="D9" i="1"/>
  <c r="D20" i="1"/>
  <c r="D2" i="1"/>
  <c r="D17" i="1"/>
  <c r="D10" i="1"/>
  <c r="D3" i="1"/>
  <c r="D15" i="1"/>
  <c r="D18" i="1"/>
  <c r="D6" i="1"/>
  <c r="D11" i="1"/>
  <c r="D19" i="1"/>
  <c r="D4" i="1"/>
  <c r="D12" i="1"/>
  <c r="D21" i="1"/>
  <c r="D5" i="1"/>
  <c r="D13" i="1"/>
  <c r="D7" i="1"/>
  <c r="D16" i="1"/>
  <c r="D8" i="1"/>
  <c r="D14" i="1"/>
  <c r="J15" i="1"/>
  <c r="K15" i="1" s="1"/>
  <c r="J16" i="1"/>
  <c r="K16" i="1" s="1"/>
  <c r="J14" i="1"/>
  <c r="J5" i="1"/>
  <c r="K5" i="1" s="1"/>
  <c r="J18" i="1"/>
  <c r="K18" i="1" s="1"/>
  <c r="J9" i="1"/>
  <c r="K9" i="1" s="1"/>
  <c r="J12" i="1"/>
  <c r="K12" i="1" s="1"/>
  <c r="J13" i="1"/>
  <c r="J17" i="1"/>
  <c r="K17" i="1" s="1"/>
  <c r="J6" i="1"/>
  <c r="K6" i="1" s="1"/>
  <c r="J7" i="1"/>
  <c r="K7" i="1" s="1"/>
  <c r="J20" i="1"/>
  <c r="K20" i="1" s="1"/>
  <c r="J11" i="1"/>
  <c r="K11" i="1" s="1"/>
  <c r="J8" i="1"/>
  <c r="K8" i="1" s="1"/>
  <c r="J2" i="1"/>
  <c r="K2" i="1" s="1"/>
  <c r="J19" i="1"/>
  <c r="K19" i="1" s="1"/>
  <c r="J10" i="1"/>
  <c r="K10" i="1" s="1"/>
  <c r="J21" i="1"/>
  <c r="K21" i="1" s="1"/>
  <c r="J3" i="1"/>
  <c r="K3" i="1" s="1"/>
  <c r="J4" i="1"/>
  <c r="K4" i="1" s="1"/>
  <c r="B25" i="1" l="1"/>
  <c r="B23" i="1"/>
  <c r="B24" i="1"/>
</calcChain>
</file>

<file path=xl/sharedStrings.xml><?xml version="1.0" encoding="utf-8"?>
<sst xmlns="http://schemas.openxmlformats.org/spreadsheetml/2006/main" count="135" uniqueCount="118">
  <si>
    <t>STT</t>
  </si>
  <si>
    <t>Họ tên</t>
  </si>
  <si>
    <t>MSSV</t>
  </si>
  <si>
    <t>Email</t>
  </si>
  <si>
    <t>Lớp</t>
  </si>
  <si>
    <t>Giờ học</t>
  </si>
  <si>
    <t>Giờ giải trí</t>
  </si>
  <si>
    <t>Tổng giờ</t>
  </si>
  <si>
    <t>Đánh giá</t>
  </si>
  <si>
    <t>Mô tả</t>
  </si>
  <si>
    <t>1</t>
  </si>
  <si>
    <t>Nguyễn Văn A</t>
  </si>
  <si>
    <t>202401001</t>
  </si>
  <si>
    <t>nva01@exam</t>
  </si>
  <si>
    <t>KS24A</t>
  </si>
  <si>
    <t>4</t>
  </si>
  <si>
    <t>3</t>
  </si>
  <si>
    <t>7</t>
  </si>
  <si>
    <t>2</t>
  </si>
  <si>
    <t>Trần Thị B</t>
  </si>
  <si>
    <t>202401002</t>
  </si>
  <si>
    <t>ttb02@examp</t>
  </si>
  <si>
    <t>KS24B</t>
  </si>
  <si>
    <t>5</t>
  </si>
  <si>
    <t>Trần Thị B học 3h, giải trí 2h – Tổng 5h</t>
  </si>
  <si>
    <t>Lê Minh C</t>
  </si>
  <si>
    <t>202401003</t>
  </si>
  <si>
    <t>lmc03@exam</t>
  </si>
  <si>
    <t>KS24C</t>
  </si>
  <si>
    <t>9</t>
  </si>
  <si>
    <t>Lê Minh C học 5h, giải trí 4h – Tổng 9h</t>
  </si>
  <si>
    <t>Phạm Hữu D</t>
  </si>
  <si>
    <t>202401004</t>
  </si>
  <si>
    <t>phd04@exam</t>
  </si>
  <si>
    <t>Phạm Hữu D học 2h, giải trí 1h – Tổng 3h</t>
  </si>
  <si>
    <t>Võ Hoàng E</t>
  </si>
  <si>
    <t>202401005</t>
  </si>
  <si>
    <t>vhe05@exam</t>
  </si>
  <si>
    <t>8</t>
  </si>
  <si>
    <t>Võ Hoàng E học 4h, giải trí 4h – Tổng 8h</t>
  </si>
  <si>
    <t>6</t>
  </si>
  <si>
    <t>Nguyễn Mai F</t>
  </si>
  <si>
    <t>202401006</t>
  </si>
  <si>
    <t>nmf06@exam</t>
  </si>
  <si>
    <t>Nguyễn Mai F học 3h, giải trí 2h – Tổng 5h</t>
  </si>
  <si>
    <t>Lưu Hương G</t>
  </si>
  <si>
    <t>202401007</t>
  </si>
  <si>
    <t>lhg07@examp</t>
  </si>
  <si>
    <t>Lưu Hương G học 2h, giải trí 1h – Tổng 3h</t>
  </si>
  <si>
    <t>Tô Văn H</t>
  </si>
  <si>
    <t>202401008</t>
  </si>
  <si>
    <t>tvh08@examp</t>
  </si>
  <si>
    <t>Tô Văn H học 3h, giải trí 4h – Tổng 7h</t>
  </si>
  <si>
    <t>Phan Quốc l</t>
  </si>
  <si>
    <t>202401009</t>
  </si>
  <si>
    <t>pqi09@examp</t>
  </si>
  <si>
    <t>Phan Quốc I học 5h, giải trí 3h – Tổng 8h</t>
  </si>
  <si>
    <t>10</t>
  </si>
  <si>
    <t>Đào Quỳnh J</t>
  </si>
  <si>
    <t>202401010</t>
  </si>
  <si>
    <t>dqj10@examp</t>
  </si>
  <si>
    <t>Đào Quỳnh J học 2h, giải trí 2h – Tổng 4h</t>
  </si>
  <si>
    <t>11</t>
  </si>
  <si>
    <t>Nguyễn Khánh</t>
  </si>
  <si>
    <t>202401011</t>
  </si>
  <si>
    <t>nkk11@exam</t>
  </si>
  <si>
    <t>Nguyễn Khánh K học 3h, giải trí 3h – Tổng 6h</t>
  </si>
  <si>
    <t>12</t>
  </si>
  <si>
    <t>Trịnh Hữu L</t>
  </si>
  <si>
    <t>202401012</t>
  </si>
  <si>
    <t>thl12@examp</t>
  </si>
  <si>
    <t>Trịnh Hữu L học 6h, giải trí 2h – Tổng 8h</t>
  </si>
  <si>
    <t>13</t>
  </si>
  <si>
    <t>Mai Hoàng M</t>
  </si>
  <si>
    <t>202401013</t>
  </si>
  <si>
    <t>mhm13@exar</t>
  </si>
  <si>
    <t>Mai Hoàng M học 2h, giải trí 1h – Tổng 3h</t>
  </si>
  <si>
    <t>14</t>
  </si>
  <si>
    <t>Hồ Thanh N</t>
  </si>
  <si>
    <t>202401014</t>
  </si>
  <si>
    <t>htn14@examp</t>
  </si>
  <si>
    <t>Hồ Thanh N học 4h, giải trí 2h – Tổng 6h</t>
  </si>
  <si>
    <t>15</t>
  </si>
  <si>
    <t>Vũ Bảo O</t>
  </si>
  <si>
    <t>202401015</t>
  </si>
  <si>
    <t>vbo15@exam</t>
  </si>
  <si>
    <t>Vũ Bảo O học 5h, giải trí 4h – Tổng 9h</t>
  </si>
  <si>
    <t>16</t>
  </si>
  <si>
    <t>Lê Hữu P</t>
  </si>
  <si>
    <t>202401016</t>
  </si>
  <si>
    <t>lhp16@examp</t>
  </si>
  <si>
    <t>Lê Hữu P học 1h, giải trí 2h – Tổng 3h</t>
  </si>
  <si>
    <t>17</t>
  </si>
  <si>
    <t>Đinh Mai Q</t>
  </si>
  <si>
    <t>202401017</t>
  </si>
  <si>
    <t>dmq17@exam</t>
  </si>
  <si>
    <t>Đinh Mai Q học 3h, giải trí 3h – Tổng 6h</t>
  </si>
  <si>
    <t>18</t>
  </si>
  <si>
    <t>Trần Văn R</t>
  </si>
  <si>
    <t>202401018</t>
  </si>
  <si>
    <t>tvr18@examp</t>
  </si>
  <si>
    <t>Trần Văn R học 2h, giải trí 2h – Tổng 4h</t>
  </si>
  <si>
    <t>19</t>
  </si>
  <si>
    <t>Phạm Thị S</t>
  </si>
  <si>
    <t>202401019</t>
  </si>
  <si>
    <t>pts19@examp</t>
  </si>
  <si>
    <t>Phạm Thị S học 4h, giải trí 3h – Tổng 7h</t>
  </si>
  <si>
    <t>20</t>
  </si>
  <si>
    <t>Nguyễn Xuân</t>
  </si>
  <si>
    <t>202401020</t>
  </si>
  <si>
    <t>nxt20@examp</t>
  </si>
  <si>
    <t>Nguyễn Xuân T học 2h, giải trí 2h – Tổng 4h</t>
  </si>
  <si>
    <t>Trung bình giờ online</t>
  </si>
  <si>
    <t>Sinh viên có thời gian online nhiều nhất</t>
  </si>
  <si>
    <t>Sinh viên có thời gian online ít nhất</t>
  </si>
  <si>
    <t>Số sinh viên có tổng thời gian online &gt;6</t>
  </si>
  <si>
    <t>Năm</t>
  </si>
  <si>
    <t>Độ dài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</si>
</sst>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Tổng</a:t>
            </a:r>
            <a:r>
              <a:rPr lang="en-US" baseline="0"/>
              <a:t> giờ online của từng sinh viên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Sheet1!$B$2:$B$21</c:f>
              <c:strCache>
                <c:ptCount val="20"/>
                <c:pt idx="0">
                  <c:v>Phạm Hữu D</c:v>
                </c:pt>
                <c:pt idx="1">
                  <c:v>Lưu Hương G</c:v>
                </c:pt>
                <c:pt idx="2">
                  <c:v>Mai Hoàng M</c:v>
                </c:pt>
                <c:pt idx="3">
                  <c:v>Lê Hữu P</c:v>
                </c:pt>
                <c:pt idx="4">
                  <c:v>Đào Quỳnh J</c:v>
                </c:pt>
                <c:pt idx="5">
                  <c:v>Trần Văn R</c:v>
                </c:pt>
                <c:pt idx="6">
                  <c:v>Nguyễn Xuân</c:v>
                </c:pt>
                <c:pt idx="7">
                  <c:v>Trần Thị B</c:v>
                </c:pt>
                <c:pt idx="8">
                  <c:v>Nguyễn Mai F</c:v>
                </c:pt>
                <c:pt idx="9">
                  <c:v>Nguyễn Khánh</c:v>
                </c:pt>
                <c:pt idx="10">
                  <c:v>Hồ Thanh N</c:v>
                </c:pt>
                <c:pt idx="11">
                  <c:v>Đinh Mai Q</c:v>
                </c:pt>
                <c:pt idx="12">
                  <c:v>Nguyễn Văn A</c:v>
                </c:pt>
                <c:pt idx="13">
                  <c:v>Tô Văn H</c:v>
                </c:pt>
                <c:pt idx="14">
                  <c:v>Phạm Thị S</c:v>
                </c:pt>
                <c:pt idx="15">
                  <c:v>Võ Hoàng E</c:v>
                </c:pt>
                <c:pt idx="16">
                  <c:v>Phan Quốc l</c:v>
                </c:pt>
                <c:pt idx="17">
                  <c:v>Trịnh Hữu L</c:v>
                </c:pt>
                <c:pt idx="18">
                  <c:v>Lê Minh C</c:v>
                </c:pt>
                <c:pt idx="19">
                  <c:v>Vũ Bảo O</c:v>
                </c:pt>
              </c:strCache>
            </c:strRef>
          </c:cat>
          <c:val>
            <c:numRef>
              <c:f>Sheet1!$J$2:$J$20</c:f>
              <c:numCache>
                <c:formatCode>0.00</c:formatCode>
                <c:ptCount val="1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2-468E-9E9D-5181B2E8D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2900719"/>
        <c:axId val="1659989487"/>
      </c:barChart>
      <c:catAx>
        <c:axId val="179290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989487"/>
        <c:crosses val="autoZero"/>
        <c:auto val="1"/>
        <c:lblAlgn val="ctr"/>
        <c:lblOffset val="100"/>
        <c:noMultiLvlLbl val="0"/>
      </c:catAx>
      <c:valAx>
        <c:axId val="165998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90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823912</xdr:colOff>
      <xdr:row>21</xdr:row>
      <xdr:rowOff>47625</xdr:rowOff>
    </xdr:from>
    <xdr:to>
      <xdr:col>5</xdr:col>
      <xdr:colOff>914400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27687-E2F0-ECFB-84D1-CDB8F5343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D1" workbookViewId="0">
      <selection activeCell="G32" sqref="G32"/>
    </sheetView>
  </sheetViews>
  <sheetFormatPr defaultRowHeight="15.75" x14ac:dyDescent="0.25"/>
  <cols>
    <col min="1" max="1" width="36.5" customWidth="1"/>
    <col min="2" max="2" width="20.5" customWidth="1"/>
    <col min="3" max="4" width="22.25" customWidth="1"/>
    <col min="5" max="6" width="18.5" customWidth="1"/>
    <col min="7" max="7" width="11.25" customWidth="1"/>
    <col min="8" max="8" width="7.375" customWidth="1"/>
    <col min="9" max="9" width="10.625" customWidth="1"/>
    <col min="10" max="10" width="10.25" customWidth="1"/>
    <col min="11" max="11" width="13" customWidth="1"/>
    <col min="12" max="12" width="44.125" customWidth="1"/>
    <col min="13" max="13" width="34.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116</v>
      </c>
      <c r="E1" s="1" t="s">
        <v>3</v>
      </c>
      <c r="F1" s="1" t="s">
        <v>117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 t="s">
        <v>15</v>
      </c>
      <c r="B2" s="1" t="s">
        <v>31</v>
      </c>
      <c r="C2" s="1" t="s">
        <v>32</v>
      </c>
      <c r="D2" s="1" t="str">
        <f>LEFT(C2,4)</f>
        <v>2024</v>
      </c>
      <c r="E2" s="1" t="s">
        <v>33</v>
      </c>
      <c r="F2" s="1">
        <f>LEN(E2)</f>
        <v>10</v>
      </c>
      <c r="G2" s="1" t="s">
        <v>28</v>
      </c>
      <c r="H2" s="3">
        <v>2</v>
      </c>
      <c r="I2" s="3">
        <v>1</v>
      </c>
      <c r="J2" s="3">
        <f>SUM(H2:I2)</f>
        <v>3</v>
      </c>
      <c r="K2" s="1" t="str">
        <f>IF(J2&gt;=7,"Cần giảm",IF(J2&gt;=4,"Cân đối","Thiếu kết nối"))</f>
        <v>Thiếu kết nối</v>
      </c>
      <c r="L2" s="1" t="s">
        <v>34</v>
      </c>
    </row>
    <row r="3" spans="1:12" x14ac:dyDescent="0.25">
      <c r="A3" s="1" t="s">
        <v>17</v>
      </c>
      <c r="B3" s="1" t="s">
        <v>45</v>
      </c>
      <c r="C3" s="1" t="s">
        <v>46</v>
      </c>
      <c r="D3" s="1" t="str">
        <f>LEFT(C3,4)</f>
        <v>2024</v>
      </c>
      <c r="E3" s="1" t="s">
        <v>47</v>
      </c>
      <c r="F3" s="1">
        <f>LEN(E3)</f>
        <v>11</v>
      </c>
      <c r="G3" s="1" t="s">
        <v>28</v>
      </c>
      <c r="H3" s="3">
        <v>2</v>
      </c>
      <c r="I3" s="3">
        <v>1</v>
      </c>
      <c r="J3" s="3">
        <f>SUM(H3:I3)</f>
        <v>3</v>
      </c>
      <c r="K3" s="1" t="str">
        <f>IF(J3&gt;=7,"Cần giảm",IF(J3&gt;=4,"Cân đối","Thiếu kết nối"))</f>
        <v>Thiếu kết nối</v>
      </c>
      <c r="L3" s="1" t="s">
        <v>48</v>
      </c>
    </row>
    <row r="4" spans="1:12" x14ac:dyDescent="0.25">
      <c r="A4" s="1" t="s">
        <v>72</v>
      </c>
      <c r="B4" s="1" t="s">
        <v>73</v>
      </c>
      <c r="C4" s="1" t="s">
        <v>74</v>
      </c>
      <c r="D4" s="1" t="str">
        <f>LEFT(C4,4)</f>
        <v>2024</v>
      </c>
      <c r="E4" s="1" t="s">
        <v>75</v>
      </c>
      <c r="F4" s="1">
        <f>LEN(E4)</f>
        <v>10</v>
      </c>
      <c r="G4" s="1" t="s">
        <v>14</v>
      </c>
      <c r="H4" s="3">
        <v>2</v>
      </c>
      <c r="I4" s="3">
        <v>1</v>
      </c>
      <c r="J4" s="3">
        <f>SUM(H4:I4)</f>
        <v>3</v>
      </c>
      <c r="K4" s="1" t="str">
        <f>IF(J4&gt;=7,"Cần giảm",IF(J4&gt;=4,"Cân đối","Thiếu kết nối"))</f>
        <v>Thiếu kết nối</v>
      </c>
      <c r="L4" s="1" t="s">
        <v>76</v>
      </c>
    </row>
    <row r="5" spans="1:12" x14ac:dyDescent="0.25">
      <c r="A5" s="1" t="s">
        <v>87</v>
      </c>
      <c r="B5" s="1" t="s">
        <v>88</v>
      </c>
      <c r="C5" s="1" t="s">
        <v>89</v>
      </c>
      <c r="D5" s="1" t="str">
        <f>LEFT(C5,4)</f>
        <v>2024</v>
      </c>
      <c r="E5" s="1" t="s">
        <v>90</v>
      </c>
      <c r="F5" s="1">
        <f>LEN(E5)</f>
        <v>11</v>
      </c>
      <c r="G5" s="1" t="s">
        <v>28</v>
      </c>
      <c r="H5" s="3">
        <v>1</v>
      </c>
      <c r="I5" s="3">
        <v>2</v>
      </c>
      <c r="J5" s="3">
        <f>SUM(H5:I5)</f>
        <v>3</v>
      </c>
      <c r="K5" s="1" t="str">
        <f>IF(J5&gt;=7,"Cần giảm",IF(J5&gt;=4,"Cân đối","Thiếu kết nối"))</f>
        <v>Thiếu kết nối</v>
      </c>
      <c r="L5" s="1" t="s">
        <v>91</v>
      </c>
    </row>
    <row r="6" spans="1:12" x14ac:dyDescent="0.25">
      <c r="A6" s="1" t="s">
        <v>57</v>
      </c>
      <c r="B6" s="1" t="s">
        <v>58</v>
      </c>
      <c r="C6" s="1" t="s">
        <v>59</v>
      </c>
      <c r="D6" s="1" t="str">
        <f>LEFT(C6,4)</f>
        <v>2024</v>
      </c>
      <c r="E6" s="1" t="s">
        <v>60</v>
      </c>
      <c r="F6" s="1">
        <f>LEN(E6)</f>
        <v>11</v>
      </c>
      <c r="G6" s="1" t="s">
        <v>28</v>
      </c>
      <c r="H6" s="3">
        <v>2</v>
      </c>
      <c r="I6" s="3">
        <v>2</v>
      </c>
      <c r="J6" s="3">
        <f>SUM(H6:I6)</f>
        <v>4</v>
      </c>
      <c r="K6" s="1" t="str">
        <f>IF(J6&gt;=7,"Cần giảm",IF(J6&gt;=4,"Cân đối","Thiếu kết nối"))</f>
        <v>Cân đối</v>
      </c>
      <c r="L6" s="1" t="s">
        <v>61</v>
      </c>
    </row>
    <row r="7" spans="1:12" x14ac:dyDescent="0.25">
      <c r="A7" s="1" t="s">
        <v>97</v>
      </c>
      <c r="B7" s="1" t="s">
        <v>98</v>
      </c>
      <c r="C7" s="1" t="s">
        <v>99</v>
      </c>
      <c r="D7" s="1" t="str">
        <f>LEFT(C7,4)</f>
        <v>2024</v>
      </c>
      <c r="E7" s="1" t="s">
        <v>100</v>
      </c>
      <c r="F7" s="1">
        <f>LEN(E7)</f>
        <v>11</v>
      </c>
      <c r="G7" s="1" t="s">
        <v>22</v>
      </c>
      <c r="H7" s="3">
        <v>2</v>
      </c>
      <c r="I7" s="3">
        <v>2</v>
      </c>
      <c r="J7" s="3">
        <f>SUM(H7:I7)</f>
        <v>4</v>
      </c>
      <c r="K7" s="1" t="str">
        <f>IF(J7&gt;=7,"Cần giảm",IF(J7&gt;=4,"Cân đối","Thiếu kết nối"))</f>
        <v>Cân đối</v>
      </c>
      <c r="L7" s="1" t="s">
        <v>101</v>
      </c>
    </row>
    <row r="8" spans="1:12" x14ac:dyDescent="0.25">
      <c r="A8" s="1" t="s">
        <v>107</v>
      </c>
      <c r="B8" s="1" t="s">
        <v>108</v>
      </c>
      <c r="C8" s="1" t="s">
        <v>109</v>
      </c>
      <c r="D8" s="1" t="str">
        <f>LEFT(C8,4)</f>
        <v>2024</v>
      </c>
      <c r="E8" s="1" t="s">
        <v>110</v>
      </c>
      <c r="F8" s="1">
        <f>LEN(E8)</f>
        <v>11</v>
      </c>
      <c r="G8" s="1" t="s">
        <v>14</v>
      </c>
      <c r="H8" s="3">
        <v>2</v>
      </c>
      <c r="I8" s="3">
        <v>2</v>
      </c>
      <c r="J8" s="3">
        <f>SUM(H8:I8)</f>
        <v>4</v>
      </c>
      <c r="K8" s="1" t="str">
        <f>IF(J8&gt;=7,"Cần giảm",IF(J8&gt;=4,"Cân đối","Thiếu kết nối"))</f>
        <v>Cân đối</v>
      </c>
      <c r="L8" s="1" t="s">
        <v>111</v>
      </c>
    </row>
    <row r="9" spans="1:12" x14ac:dyDescent="0.25">
      <c r="A9" s="1" t="s">
        <v>18</v>
      </c>
      <c r="B9" s="1" t="s">
        <v>19</v>
      </c>
      <c r="C9" s="1" t="s">
        <v>20</v>
      </c>
      <c r="D9" s="1" t="str">
        <f>LEFT(C9,4)</f>
        <v>2024</v>
      </c>
      <c r="E9" s="1" t="s">
        <v>21</v>
      </c>
      <c r="F9" s="1">
        <f>LEN(E9)</f>
        <v>11</v>
      </c>
      <c r="G9" s="1" t="s">
        <v>22</v>
      </c>
      <c r="H9" s="3">
        <v>3</v>
      </c>
      <c r="I9" s="3">
        <v>2</v>
      </c>
      <c r="J9" s="3">
        <f>SUM(H9:I9)</f>
        <v>5</v>
      </c>
      <c r="K9" s="1" t="str">
        <f>IF(J9&gt;=7,"Cần giảm",IF(J9&gt;=4,"Cân đối","Thiếu kết nối"))</f>
        <v>Cân đối</v>
      </c>
      <c r="L9" s="1" t="s">
        <v>24</v>
      </c>
    </row>
    <row r="10" spans="1:12" x14ac:dyDescent="0.25">
      <c r="A10" s="1" t="s">
        <v>40</v>
      </c>
      <c r="B10" s="1" t="s">
        <v>41</v>
      </c>
      <c r="C10" s="1" t="s">
        <v>42</v>
      </c>
      <c r="D10" s="1" t="str">
        <f>LEFT(C10,4)</f>
        <v>2024</v>
      </c>
      <c r="E10" s="1" t="s">
        <v>43</v>
      </c>
      <c r="F10" s="1">
        <f>LEN(E10)</f>
        <v>10</v>
      </c>
      <c r="G10" s="1" t="s">
        <v>14</v>
      </c>
      <c r="H10" s="3">
        <v>3</v>
      </c>
      <c r="I10" s="3">
        <v>2</v>
      </c>
      <c r="J10" s="3">
        <f>SUM(H10:I10)</f>
        <v>5</v>
      </c>
      <c r="K10" s="1" t="str">
        <f>IF(J10&gt;=7,"Cần giảm",IF(J10&gt;=4,"Cân đối","Thiếu kết nối"))</f>
        <v>Cân đối</v>
      </c>
      <c r="L10" s="1" t="s">
        <v>44</v>
      </c>
    </row>
    <row r="11" spans="1:12" x14ac:dyDescent="0.25">
      <c r="A11" s="1" t="s">
        <v>62</v>
      </c>
      <c r="B11" s="1" t="s">
        <v>63</v>
      </c>
      <c r="C11" s="1" t="s">
        <v>64</v>
      </c>
      <c r="D11" s="1" t="str">
        <f>LEFT(C11,4)</f>
        <v>2024</v>
      </c>
      <c r="E11" s="1" t="s">
        <v>65</v>
      </c>
      <c r="F11" s="1">
        <f>LEN(E11)</f>
        <v>10</v>
      </c>
      <c r="G11" s="1" t="s">
        <v>22</v>
      </c>
      <c r="H11" s="3">
        <v>3</v>
      </c>
      <c r="I11" s="3">
        <v>3</v>
      </c>
      <c r="J11" s="3">
        <f>SUM(H11:I11)</f>
        <v>6</v>
      </c>
      <c r="K11" s="1" t="str">
        <f>IF(J11&gt;=7,"Cần giảm",IF(J11&gt;=4,"Cân đối","Thiếu kết nối"))</f>
        <v>Cân đối</v>
      </c>
      <c r="L11" s="1" t="s">
        <v>66</v>
      </c>
    </row>
    <row r="12" spans="1:12" x14ac:dyDescent="0.25">
      <c r="A12" s="1" t="s">
        <v>77</v>
      </c>
      <c r="B12" s="1" t="s">
        <v>78</v>
      </c>
      <c r="C12" s="1" t="s">
        <v>79</v>
      </c>
      <c r="D12" s="1" t="str">
        <f>LEFT(C12,4)</f>
        <v>2024</v>
      </c>
      <c r="E12" s="1" t="s">
        <v>80</v>
      </c>
      <c r="F12" s="1">
        <f>LEN(E12)</f>
        <v>11</v>
      </c>
      <c r="G12" s="1" t="s">
        <v>28</v>
      </c>
      <c r="H12" s="3">
        <v>4</v>
      </c>
      <c r="I12" s="3">
        <v>2</v>
      </c>
      <c r="J12" s="3">
        <f>SUM(H12:I12)</f>
        <v>6</v>
      </c>
      <c r="K12" s="1" t="str">
        <f>IF(J12&gt;=7,"Cần giảm",IF(J12&gt;=4,"Cân đối","Thiếu kết nối"))</f>
        <v>Cân đối</v>
      </c>
      <c r="L12" s="1" t="s">
        <v>81</v>
      </c>
    </row>
    <row r="13" spans="1:12" x14ac:dyDescent="0.25">
      <c r="A13" s="1" t="s">
        <v>92</v>
      </c>
      <c r="B13" s="1" t="s">
        <v>93</v>
      </c>
      <c r="C13" s="1" t="s">
        <v>94</v>
      </c>
      <c r="D13" s="1" t="str">
        <f>LEFT(C13,4)</f>
        <v>2024</v>
      </c>
      <c r="E13" s="1" t="s">
        <v>95</v>
      </c>
      <c r="F13" s="1">
        <f>LEN(E13)</f>
        <v>10</v>
      </c>
      <c r="G13" s="1" t="s">
        <v>14</v>
      </c>
      <c r="H13" s="3">
        <v>3</v>
      </c>
      <c r="I13" s="3">
        <v>3</v>
      </c>
      <c r="J13" s="3">
        <f>SUM(H13:I13)</f>
        <v>6</v>
      </c>
      <c r="K13" s="1" t="str">
        <f>IF(J13&gt;=7,"Cần giảm",IF(J13&gt;=4,"Cân đối","Thiếu kết nối"))</f>
        <v>Cân đối</v>
      </c>
      <c r="L13" s="1" t="s">
        <v>96</v>
      </c>
    </row>
    <row r="14" spans="1:12" x14ac:dyDescent="0.25">
      <c r="A14" s="1" t="s">
        <v>10</v>
      </c>
      <c r="B14" s="1" t="s">
        <v>11</v>
      </c>
      <c r="C14" s="1" t="s">
        <v>12</v>
      </c>
      <c r="D14" s="1" t="str">
        <f>LEFT(C14,4)</f>
        <v>2024</v>
      </c>
      <c r="E14" s="1" t="s">
        <v>13</v>
      </c>
      <c r="F14" s="1">
        <f>LEN(E14)</f>
        <v>10</v>
      </c>
      <c r="G14" s="1" t="s">
        <v>14</v>
      </c>
      <c r="H14" s="3">
        <v>4</v>
      </c>
      <c r="I14" s="3">
        <v>3</v>
      </c>
      <c r="J14" s="3">
        <f>SUM(H14:I14)</f>
        <v>7</v>
      </c>
      <c r="K14" s="1" t="str">
        <f>IF(J14&gt;=7,"Cần giảm",IF(J14&gt;=4,"Cân đối","Thiếu kết nối"))</f>
        <v>Cần giảm</v>
      </c>
      <c r="L14" s="1" t="str">
        <f>_xlfn.CONCAT("Nguyễn Văn A học 4h, giải trí 2h/ngày")</f>
        <v>Nguyễn Văn A học 4h, giải trí 2h/ngày</v>
      </c>
    </row>
    <row r="15" spans="1:12" x14ac:dyDescent="0.25">
      <c r="A15" s="1" t="s">
        <v>38</v>
      </c>
      <c r="B15" s="1" t="s">
        <v>49</v>
      </c>
      <c r="C15" s="1" t="s">
        <v>50</v>
      </c>
      <c r="D15" s="1" t="str">
        <f>LEFT(C15,4)</f>
        <v>2024</v>
      </c>
      <c r="E15" s="1" t="s">
        <v>51</v>
      </c>
      <c r="F15" s="1">
        <f>LEN(E15)</f>
        <v>11</v>
      </c>
      <c r="G15" s="1" t="s">
        <v>22</v>
      </c>
      <c r="H15" s="3">
        <v>3</v>
      </c>
      <c r="I15" s="3">
        <v>4</v>
      </c>
      <c r="J15" s="3">
        <f>SUM(H15:I15)</f>
        <v>7</v>
      </c>
      <c r="K15" s="1" t="str">
        <f>IF(J15&gt;=7,"Cần giảm",IF(J15&gt;=4,"Cân đối","Thiếu kết nối"))</f>
        <v>Cần giảm</v>
      </c>
      <c r="L15" s="1" t="s">
        <v>52</v>
      </c>
    </row>
    <row r="16" spans="1:12" x14ac:dyDescent="0.25">
      <c r="A16" s="1" t="s">
        <v>102</v>
      </c>
      <c r="B16" s="1" t="s">
        <v>103</v>
      </c>
      <c r="C16" s="1" t="s">
        <v>104</v>
      </c>
      <c r="D16" s="1" t="str">
        <f>LEFT(C16,4)</f>
        <v>2024</v>
      </c>
      <c r="E16" s="1" t="s">
        <v>105</v>
      </c>
      <c r="F16" s="1">
        <f>LEN(E16)</f>
        <v>11</v>
      </c>
      <c r="G16" s="1" t="s">
        <v>28</v>
      </c>
      <c r="H16" s="3">
        <v>4</v>
      </c>
      <c r="I16" s="3">
        <v>3</v>
      </c>
      <c r="J16" s="3">
        <f>SUM(H16:I16)</f>
        <v>7</v>
      </c>
      <c r="K16" s="1" t="str">
        <f>IF(J16&gt;=7,"Cần giảm",IF(J16&gt;=4,"Cân đối","Thiếu kết nối"))</f>
        <v>Cần giảm</v>
      </c>
      <c r="L16" s="1" t="s">
        <v>106</v>
      </c>
    </row>
    <row r="17" spans="1:12" x14ac:dyDescent="0.25">
      <c r="A17" s="1" t="s">
        <v>23</v>
      </c>
      <c r="B17" s="1" t="s">
        <v>35</v>
      </c>
      <c r="C17" s="1" t="s">
        <v>36</v>
      </c>
      <c r="D17" s="1" t="str">
        <f>LEFT(C17,4)</f>
        <v>2024</v>
      </c>
      <c r="E17" s="1" t="s">
        <v>37</v>
      </c>
      <c r="F17" s="1">
        <f>LEN(E17)</f>
        <v>10</v>
      </c>
      <c r="G17" s="1" t="s">
        <v>22</v>
      </c>
      <c r="H17" s="3">
        <v>4</v>
      </c>
      <c r="I17" s="3">
        <v>4</v>
      </c>
      <c r="J17" s="3">
        <f>SUM(H17:I17)</f>
        <v>8</v>
      </c>
      <c r="K17" s="1" t="str">
        <f>IF(J17&gt;=7,"Cần giảm",IF(J17&gt;=4,"Cân đối","Thiếu kết nối"))</f>
        <v>Cần giảm</v>
      </c>
      <c r="L17" s="1" t="s">
        <v>39</v>
      </c>
    </row>
    <row r="18" spans="1:12" x14ac:dyDescent="0.25">
      <c r="A18" s="1" t="s">
        <v>29</v>
      </c>
      <c r="B18" s="1" t="s">
        <v>53</v>
      </c>
      <c r="C18" s="1" t="s">
        <v>54</v>
      </c>
      <c r="D18" s="1" t="str">
        <f>LEFT(C18,4)</f>
        <v>2024</v>
      </c>
      <c r="E18" s="1" t="s">
        <v>55</v>
      </c>
      <c r="F18" s="1">
        <f>LEN(E18)</f>
        <v>11</v>
      </c>
      <c r="G18" s="1" t="s">
        <v>14</v>
      </c>
      <c r="H18" s="3">
        <v>5</v>
      </c>
      <c r="I18" s="3">
        <v>3</v>
      </c>
      <c r="J18" s="3">
        <f>SUM(H18:I18)</f>
        <v>8</v>
      </c>
      <c r="K18" s="1" t="str">
        <f>IF(J18&gt;=7,"Cần giảm",IF(J18&gt;=4,"Cân đối","Thiếu kết nối"))</f>
        <v>Cần giảm</v>
      </c>
      <c r="L18" s="1" t="s">
        <v>56</v>
      </c>
    </row>
    <row r="19" spans="1:12" x14ac:dyDescent="0.25">
      <c r="A19" s="1" t="s">
        <v>67</v>
      </c>
      <c r="B19" s="1" t="s">
        <v>68</v>
      </c>
      <c r="C19" s="1" t="s">
        <v>69</v>
      </c>
      <c r="D19" s="1" t="str">
        <f>LEFT(C19,4)</f>
        <v>2024</v>
      </c>
      <c r="E19" s="1" t="s">
        <v>70</v>
      </c>
      <c r="F19" s="1">
        <f>LEN(E19)</f>
        <v>11</v>
      </c>
      <c r="G19" s="1" t="s">
        <v>14</v>
      </c>
      <c r="H19" s="3">
        <v>6</v>
      </c>
      <c r="I19" s="3">
        <v>2</v>
      </c>
      <c r="J19" s="3">
        <f>SUM(H19:I19)</f>
        <v>8</v>
      </c>
      <c r="K19" s="1" t="str">
        <f>IF(J19&gt;=7,"Cần giảm",IF(J19&gt;=4,"Cân đối","Thiếu kết nối"))</f>
        <v>Cần giảm</v>
      </c>
      <c r="L19" s="1" t="s">
        <v>71</v>
      </c>
    </row>
    <row r="20" spans="1:12" x14ac:dyDescent="0.25">
      <c r="A20" s="1" t="s">
        <v>16</v>
      </c>
      <c r="B20" s="1" t="s">
        <v>25</v>
      </c>
      <c r="C20" s="1" t="s">
        <v>26</v>
      </c>
      <c r="D20" s="1" t="str">
        <f>LEFT(C20,4)</f>
        <v>2024</v>
      </c>
      <c r="E20" s="1" t="s">
        <v>27</v>
      </c>
      <c r="F20" s="1">
        <f>LEN(E20)</f>
        <v>10</v>
      </c>
      <c r="G20" s="1" t="s">
        <v>28</v>
      </c>
      <c r="H20" s="3">
        <v>5</v>
      </c>
      <c r="I20" s="3">
        <v>4</v>
      </c>
      <c r="J20" s="3">
        <f>SUM(H20:I20)</f>
        <v>9</v>
      </c>
      <c r="K20" s="1" t="str">
        <f>IF(J20&gt;=7,"Cần giảm",IF(J20&gt;=4,"Cân đối","Thiếu kết nối"))</f>
        <v>Cần giảm</v>
      </c>
      <c r="L20" s="1" t="s">
        <v>30</v>
      </c>
    </row>
    <row r="21" spans="1:12" x14ac:dyDescent="0.25">
      <c r="A21" s="1" t="s">
        <v>82</v>
      </c>
      <c r="B21" s="1" t="s">
        <v>83</v>
      </c>
      <c r="C21" s="1" t="s">
        <v>84</v>
      </c>
      <c r="D21" s="1" t="str">
        <f>LEFT(C21,4)</f>
        <v>2024</v>
      </c>
      <c r="E21" s="1" t="s">
        <v>85</v>
      </c>
      <c r="F21" s="1">
        <f>LEN(E21)</f>
        <v>10</v>
      </c>
      <c r="G21" s="1" t="s">
        <v>22</v>
      </c>
      <c r="H21" s="3">
        <v>5</v>
      </c>
      <c r="I21" s="3">
        <v>4</v>
      </c>
      <c r="J21" s="3">
        <f>SUM(H21:I21)</f>
        <v>9</v>
      </c>
      <c r="K21" s="1" t="str">
        <f>IF(J21&gt;=7,"Cần giảm",IF(J21&gt;=4,"Cân đối","Thiếu kết nối"))</f>
        <v>Cần giảm</v>
      </c>
      <c r="L21" s="1" t="s">
        <v>86</v>
      </c>
    </row>
    <row r="23" spans="1:12" x14ac:dyDescent="0.25">
      <c r="A23" s="1" t="s">
        <v>112</v>
      </c>
      <c r="B23" s="2">
        <f>AVERAGE(J2:J21)</f>
        <v>5.75</v>
      </c>
    </row>
    <row r="24" spans="1:12" x14ac:dyDescent="0.25">
      <c r="A24" s="4" t="s">
        <v>113</v>
      </c>
      <c r="B24" s="2">
        <f>MAX(J2:J21)</f>
        <v>9</v>
      </c>
    </row>
    <row r="25" spans="1:12" x14ac:dyDescent="0.25">
      <c r="A25" s="1" t="s">
        <v>114</v>
      </c>
      <c r="B25" s="2">
        <f>MIN(J2:J21)</f>
        <v>3</v>
      </c>
    </row>
    <row r="26" spans="1:12" x14ac:dyDescent="0.25">
      <c r="A26" s="1" t="s">
        <v>115</v>
      </c>
      <c r="B26" s="1">
        <f>COUNTIF(J2:J21,"&gt;6")</f>
        <v>8</v>
      </c>
    </row>
  </sheetData>
  <sortState xmlns:xlrd2="http://schemas.microsoft.com/office/spreadsheetml/2017/richdata2" ref="A2:L21">
    <sortCondition ref="J2:J21"/>
  </sortState>
  <pageMargins left="0.7" right="0.7" top="0.75" bottom="0.75" header="0.3" footer="0.3"/>
  <ignoredErrors>
    <ignoredError sqref="G1:L1 A1:C1 E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Nguyễn Tuấn Hưng</cp:lastModifiedBy>
  <dcterms:created xsi:type="dcterms:W3CDTF">2025-10-02T01:37:13Z</dcterms:created>
  <dcterms:modified xsi:type="dcterms:W3CDTF">2025-10-02T01:37:13Z</dcterms:modified>
</cp:coreProperties>
</file>